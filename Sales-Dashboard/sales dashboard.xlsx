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zaids\OneDrive\Desktop\"/>
    </mc:Choice>
  </mc:AlternateContent>
  <bookViews>
    <workbookView xWindow="0" yWindow="0" windowWidth="23040" windowHeight="10524" activeTab="2"/>
  </bookViews>
  <sheets>
    <sheet name="Data" sheetId="1" r:id="rId1"/>
    <sheet name="pivot" sheetId="2" r:id="rId2"/>
    <sheet name="Dashboard" sheetId="7" r:id="rId3"/>
  </sheets>
  <definedNames>
    <definedName name="Slicer_Category">#N/A</definedName>
    <definedName name="Slicer_City1">#N/A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7" l="1"/>
  <c r="N3" i="7"/>
  <c r="J3" i="7"/>
  <c r="F3" i="7"/>
  <c r="H2" i="1" l="1"/>
  <c r="H3" i="1"/>
  <c r="H4" i="1"/>
  <c r="H5" i="1"/>
  <c r="H6" i="1"/>
  <c r="H7" i="1"/>
  <c r="H8" i="1"/>
  <c r="H9" i="1"/>
  <c r="H10" i="1"/>
  <c r="H11" i="1"/>
</calcChain>
</file>

<file path=xl/sharedStrings.xml><?xml version="1.0" encoding="utf-8"?>
<sst xmlns="http://schemas.openxmlformats.org/spreadsheetml/2006/main" count="58" uniqueCount="25">
  <si>
    <t>Order ID</t>
  </si>
  <si>
    <t>Date</t>
  </si>
  <si>
    <t>Product</t>
  </si>
  <si>
    <t>Category</t>
  </si>
  <si>
    <t>Laptop</t>
  </si>
  <si>
    <t>Phone</t>
  </si>
  <si>
    <t>Chair</t>
  </si>
  <si>
    <t>Desk</t>
  </si>
  <si>
    <t>Electronics</t>
  </si>
  <si>
    <t>Furniture</t>
  </si>
  <si>
    <t>Total</t>
  </si>
  <si>
    <t>City</t>
  </si>
  <si>
    <t>Quantity</t>
  </si>
  <si>
    <t>Price</t>
  </si>
  <si>
    <t>Baghdad</t>
  </si>
  <si>
    <t>Erbil</t>
  </si>
  <si>
    <t>Basra</t>
  </si>
  <si>
    <t>Row Labels</t>
  </si>
  <si>
    <t>Grand Total</t>
  </si>
  <si>
    <t>Sum of Total</t>
  </si>
  <si>
    <t>Count of Order ID</t>
  </si>
  <si>
    <t>Total Sales</t>
  </si>
  <si>
    <t>Total Order</t>
  </si>
  <si>
    <t>Average Sales</t>
  </si>
  <si>
    <t>Max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</si>
</sst>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6"/>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Alignment="1">
      <alignment vertical="top"/>
    </xf>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0" fontId="1" fillId="2" borderId="0" xfId="0" applyFont="1" applyFill="1"/>
    <xf numFmtId="0" fontId="1" fillId="0" borderId="0" xfId="0" applyFont="1"/>
  </cellXfs>
  <cellStyles count="1">
    <cellStyle name="Normal" xfId="0" builtinId="0"/>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pivot!$A$4:$A$6</c:f>
              <c:strCache>
                <c:ptCount val="2"/>
                <c:pt idx="0">
                  <c:v>Laptop</c:v>
                </c:pt>
                <c:pt idx="1">
                  <c:v>Phone</c:v>
                </c:pt>
              </c:strCache>
            </c:strRef>
          </c:cat>
          <c:val>
            <c:numRef>
              <c:f>pivot!$B$4:$B$6</c:f>
              <c:numCache>
                <c:formatCode>General</c:formatCode>
                <c:ptCount val="2"/>
                <c:pt idx="0">
                  <c:v>8300</c:v>
                </c:pt>
                <c:pt idx="1">
                  <c:v>6700</c:v>
                </c:pt>
              </c:numCache>
            </c:numRef>
          </c:val>
        </c:ser>
        <c:dLbls>
          <c:showLegendKey val="0"/>
          <c:showVal val="0"/>
          <c:showCatName val="0"/>
          <c:showSerName val="0"/>
          <c:showPercent val="0"/>
          <c:showBubbleSize val="0"/>
        </c:dLbls>
        <c:gapWidth val="219"/>
        <c:overlap val="-27"/>
        <c:axId val="439694576"/>
        <c:axId val="439690224"/>
      </c:barChart>
      <c:catAx>
        <c:axId val="4396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90224"/>
        <c:crosses val="autoZero"/>
        <c:auto val="1"/>
        <c:lblAlgn val="ctr"/>
        <c:lblOffset val="100"/>
        <c:noMultiLvlLbl val="0"/>
      </c:catAx>
      <c:valAx>
        <c:axId val="4396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94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pivot!$G$1</c:f>
              <c:strCache>
                <c:ptCount val="1"/>
                <c:pt idx="0">
                  <c:v>Total</c:v>
                </c:pt>
              </c:strCache>
            </c:strRef>
          </c:tx>
          <c:spPr>
            <a:solidFill>
              <a:schemeClr val="accent1"/>
            </a:solidFill>
            <a:ln>
              <a:noFill/>
            </a:ln>
            <a:effectLst/>
          </c:spPr>
          <c:invertIfNegative val="0"/>
          <c:cat>
            <c:strRef>
              <c:f>pivot!$F$2:$F$5</c:f>
              <c:strCache>
                <c:ptCount val="3"/>
                <c:pt idx="0">
                  <c:v>Baghdad</c:v>
                </c:pt>
                <c:pt idx="1">
                  <c:v>Basra</c:v>
                </c:pt>
                <c:pt idx="2">
                  <c:v>Erbil</c:v>
                </c:pt>
              </c:strCache>
            </c:strRef>
          </c:cat>
          <c:val>
            <c:numRef>
              <c:f>pivot!$G$2:$G$5</c:f>
              <c:numCache>
                <c:formatCode>General</c:formatCode>
                <c:ptCount val="3"/>
                <c:pt idx="0">
                  <c:v>4100</c:v>
                </c:pt>
                <c:pt idx="1">
                  <c:v>4000</c:v>
                </c:pt>
                <c:pt idx="2">
                  <c:v>6900</c:v>
                </c:pt>
              </c:numCache>
            </c:numRef>
          </c:val>
        </c:ser>
        <c:dLbls>
          <c:showLegendKey val="0"/>
          <c:showVal val="0"/>
          <c:showCatName val="0"/>
          <c:showSerName val="0"/>
          <c:showPercent val="0"/>
          <c:showBubbleSize val="0"/>
        </c:dLbls>
        <c:gapWidth val="219"/>
        <c:overlap val="-27"/>
        <c:axId val="439689680"/>
        <c:axId val="439693488"/>
      </c:barChart>
      <c:catAx>
        <c:axId val="43968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93488"/>
        <c:crosses val="autoZero"/>
        <c:auto val="1"/>
        <c:lblAlgn val="ctr"/>
        <c:lblOffset val="100"/>
        <c:noMultiLvlLbl val="0"/>
      </c:catAx>
      <c:valAx>
        <c:axId val="43969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89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dashboard.xlsx]pivot!PivotTable8</c:name>
    <c:fmtId val="2"/>
  </c:pivotSource>
  <c:chart>
    <c:title>
      <c:layout>
        <c:manualLayout>
          <c:xMode val="edge"/>
          <c:yMode val="edge"/>
          <c:x val="0.6369444444444444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pivot!$I$4:$I$6</c:f>
              <c:strCache>
                <c:ptCount val="2"/>
                <c:pt idx="0">
                  <c:v>Laptop</c:v>
                </c:pt>
                <c:pt idx="1">
                  <c:v>Phone</c:v>
                </c:pt>
              </c:strCache>
            </c:strRef>
          </c:cat>
          <c:val>
            <c:numRef>
              <c:f>pivot!$J$4:$J$6</c:f>
              <c:numCache>
                <c:formatCode>General</c:formatCode>
                <c:ptCount val="2"/>
                <c:pt idx="0">
                  <c:v>3</c:v>
                </c:pt>
                <c:pt idx="1">
                  <c:v>3</c:v>
                </c:pt>
              </c:numCache>
            </c:numRef>
          </c:val>
        </c:ser>
        <c:dLbls>
          <c:showLegendKey val="0"/>
          <c:showVal val="0"/>
          <c:showCatName val="0"/>
          <c:showSerName val="0"/>
          <c:showPercent val="0"/>
          <c:showBubbleSize val="0"/>
        </c:dLbls>
        <c:gapWidth val="219"/>
        <c:overlap val="-27"/>
        <c:axId val="439688592"/>
        <c:axId val="318612704"/>
      </c:barChart>
      <c:catAx>
        <c:axId val="4396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12704"/>
        <c:crosses val="autoZero"/>
        <c:auto val="1"/>
        <c:lblAlgn val="ctr"/>
        <c:lblOffset val="100"/>
        <c:noMultiLvlLbl val="0"/>
      </c:catAx>
      <c:valAx>
        <c:axId val="31861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88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129540</xdr:rowOff>
    </xdr:from>
    <xdr:to>
      <xdr:col>7</xdr:col>
      <xdr:colOff>243840</xdr:colOff>
      <xdr:row>18</xdr:row>
      <xdr:rowOff>129540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3</xdr:row>
      <xdr:rowOff>160020</xdr:rowOff>
    </xdr:from>
    <xdr:to>
      <xdr:col>15</xdr:col>
      <xdr:colOff>167640</xdr:colOff>
      <xdr:row>18</xdr:row>
      <xdr:rowOff>160020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289560</xdr:colOff>
      <xdr:row>4</xdr:row>
      <xdr:rowOff>22860</xdr:rowOff>
    </xdr:from>
    <xdr:to>
      <xdr:col>22</xdr:col>
      <xdr:colOff>594360</xdr:colOff>
      <xdr:row>19</xdr:row>
      <xdr:rowOff>22860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510540</xdr:colOff>
      <xdr:row>19</xdr:row>
      <xdr:rowOff>99060</xdr:rowOff>
    </xdr:from>
    <xdr:to>
      <xdr:col>8</xdr:col>
      <xdr:colOff>510540</xdr:colOff>
      <xdr:row>33</xdr:row>
      <xdr:rowOff>5715</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58540" y="3573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19</xdr:row>
      <xdr:rowOff>129540</xdr:rowOff>
    </xdr:from>
    <xdr:to>
      <xdr:col>11</xdr:col>
      <xdr:colOff>533400</xdr:colOff>
      <xdr:row>33</xdr:row>
      <xdr:rowOff>36195</xdr:rowOff>
    </xdr:to>
    <mc:AlternateContent xmlns:mc="http://schemas.openxmlformats.org/markup-compatibility/2006" xmlns:a14="http://schemas.microsoft.com/office/drawing/2010/main">
      <mc:Choice Requires="a14">
        <xdr:graphicFrame macro="">
          <xdr:nvGraphicFramePr>
            <xdr:cNvPr id="9"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478780" y="3604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aid saad" refreshedDate="46212.832700347222" createdVersion="5" refreshedVersion="5" minRefreshableVersion="3" recordCount="10">
  <cacheSource type="worksheet">
    <worksheetSource name="Table2"/>
  </cacheSource>
  <cacheFields count="8">
    <cacheField name="Order ID" numFmtId="0">
      <sharedItems containsSemiMixedTypes="0" containsString="0" containsNumber="1" containsInteger="1" minValue="1001" maxValue="1010"/>
    </cacheField>
    <cacheField name="Date" numFmtId="14">
      <sharedItems containsSemiMixedTypes="0" containsNonDate="0" containsDate="1" containsString="0" minDate="2026-01-01T00:00:00" maxDate="2026-10-02T00:00:00"/>
    </cacheField>
    <cacheField name="Product" numFmtId="0">
      <sharedItems count="4">
        <s v="Laptop"/>
        <s v="Phone"/>
        <s v="Chair"/>
        <s v="Desk"/>
      </sharedItems>
    </cacheField>
    <cacheField name="Category" numFmtId="0">
      <sharedItems count="2">
        <s v="Electronics"/>
        <s v="Furniture"/>
      </sharedItems>
    </cacheField>
    <cacheField name="City" numFmtId="0">
      <sharedItems count="3">
        <s v="Baghdad"/>
        <s v="Erbil"/>
        <s v="Basra"/>
      </sharedItems>
    </cacheField>
    <cacheField name="Quantity" numFmtId="0">
      <sharedItems containsSemiMixedTypes="0" containsString="0" containsNumber="1" containsInteger="1" minValue="1" maxValue="6"/>
    </cacheField>
    <cacheField name="Price" numFmtId="0">
      <sharedItems containsSemiMixedTypes="0" containsString="0" containsNumber="1" containsInteger="1" minValue="120" maxValue="800"/>
    </cacheField>
    <cacheField name="Total" numFmtId="0">
      <sharedItems containsSemiMixedTypes="0" containsString="0" containsNumber="1" containsInteger="1" minValue="600" maxValue="42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d v="2026-01-01T00:00:00"/>
    <x v="0"/>
    <x v="0"/>
    <x v="0"/>
    <n v="2"/>
    <n v="800"/>
    <n v="1600"/>
  </r>
  <r>
    <n v="1002"/>
    <d v="2026-02-01T00:00:00"/>
    <x v="1"/>
    <x v="0"/>
    <x v="1"/>
    <n v="3"/>
    <n v="500"/>
    <n v="1500"/>
  </r>
  <r>
    <n v="1003"/>
    <d v="2026-03-01T00:00:00"/>
    <x v="2"/>
    <x v="1"/>
    <x v="2"/>
    <n v="5"/>
    <n v="120"/>
    <n v="600"/>
  </r>
  <r>
    <n v="1004"/>
    <d v="2026-04-01T00:00:00"/>
    <x v="0"/>
    <x v="0"/>
    <x v="0"/>
    <n v="5"/>
    <n v="500"/>
    <n v="2500"/>
  </r>
  <r>
    <n v="1005"/>
    <d v="2026-05-01T00:00:00"/>
    <x v="3"/>
    <x v="1"/>
    <x v="0"/>
    <n v="3"/>
    <n v="400"/>
    <n v="1200"/>
  </r>
  <r>
    <n v="1006"/>
    <d v="2026-06-01T00:00:00"/>
    <x v="1"/>
    <x v="0"/>
    <x v="1"/>
    <n v="6"/>
    <n v="200"/>
    <n v="1200"/>
  </r>
  <r>
    <n v="1007"/>
    <d v="2026-07-01T00:00:00"/>
    <x v="2"/>
    <x v="1"/>
    <x v="1"/>
    <n v="3"/>
    <n v="400"/>
    <n v="1200"/>
  </r>
  <r>
    <n v="1008"/>
    <d v="2026-08-01T00:00:00"/>
    <x v="0"/>
    <x v="0"/>
    <x v="1"/>
    <n v="6"/>
    <n v="700"/>
    <n v="4200"/>
  </r>
  <r>
    <n v="1009"/>
    <d v="2026-09-01T00:00:00"/>
    <x v="3"/>
    <x v="1"/>
    <x v="2"/>
    <n v="1"/>
    <n v="770"/>
    <n v="770"/>
  </r>
  <r>
    <n v="1010"/>
    <d v="2026-10-01T00:00:00"/>
    <x v="1"/>
    <x v="0"/>
    <x v="2"/>
    <n v="5"/>
    <n v="800"/>
    <n v="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F1:G5" firstHeaderRow="1" firstDataRow="1" firstDataCol="1"/>
  <pivotFields count="8">
    <pivotField showAll="0"/>
    <pivotField numFmtId="14" showAll="0"/>
    <pivotField showAll="0"/>
    <pivotField showAll="0">
      <items count="3">
        <item x="0"/>
        <item h="1" x="1"/>
        <item t="default"/>
      </items>
    </pivotField>
    <pivotField axis="axisRow" showAll="0">
      <items count="4">
        <item x="0"/>
        <item x="2"/>
        <item x="1"/>
        <item t="default"/>
      </items>
    </pivotField>
    <pivotField showAll="0"/>
    <pivotField showAll="0"/>
    <pivotField dataField="1" showAll="0"/>
  </pivotFields>
  <rowFields count="1">
    <field x="4"/>
  </rowFields>
  <rowItems count="4">
    <i>
      <x/>
    </i>
    <i>
      <x v="1"/>
    </i>
    <i>
      <x v="2"/>
    </i>
    <i t="grand">
      <x/>
    </i>
  </rowItems>
  <colItems count="1">
    <i/>
  </colItems>
  <dataFields count="1">
    <dataField name="Sum of Total"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3:J6" firstHeaderRow="1" firstDataRow="1" firstDataCol="1"/>
  <pivotFields count="8">
    <pivotField dataField="1" showAll="0"/>
    <pivotField numFmtId="14" showAll="0"/>
    <pivotField axis="axisRow" showAll="0">
      <items count="5">
        <item x="2"/>
        <item x="3"/>
        <item x="0"/>
        <item x="1"/>
        <item t="default"/>
      </items>
    </pivotField>
    <pivotField showAll="0">
      <items count="3">
        <item x="0"/>
        <item h="1" x="1"/>
        <item t="default"/>
      </items>
    </pivotField>
    <pivotField showAll="0">
      <items count="4">
        <item x="0"/>
        <item x="2"/>
        <item x="1"/>
        <item t="default"/>
      </items>
    </pivotField>
    <pivotField showAll="0"/>
    <pivotField showAll="0"/>
    <pivotField showAll="0"/>
  </pivotFields>
  <rowFields count="1">
    <field x="2"/>
  </rowFields>
  <rowItems count="3">
    <i>
      <x v="2"/>
    </i>
    <i>
      <x v="3"/>
    </i>
    <i t="grand">
      <x/>
    </i>
  </rowItems>
  <colItems count="1">
    <i/>
  </colItems>
  <dataFields count="1">
    <dataField name="Count of Order ID" fld="0"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8">
    <pivotField showAll="0"/>
    <pivotField numFmtId="14" showAll="0"/>
    <pivotField axis="axisRow" showAll="0">
      <items count="5">
        <item x="2"/>
        <item x="3"/>
        <item x="0"/>
        <item x="1"/>
        <item t="default"/>
      </items>
    </pivotField>
    <pivotField showAll="0">
      <items count="3">
        <item x="0"/>
        <item h="1" x="1"/>
        <item t="default"/>
      </items>
    </pivotField>
    <pivotField showAll="0">
      <items count="4">
        <item x="0"/>
        <item x="2"/>
        <item x="1"/>
        <item t="default"/>
      </items>
    </pivotField>
    <pivotField showAll="0"/>
    <pivotField showAll="0"/>
    <pivotField dataField="1" showAll="0"/>
  </pivotFields>
  <rowFields count="1">
    <field x="2"/>
  </rowFields>
  <rowItems count="3">
    <i>
      <x v="2"/>
    </i>
    <i>
      <x v="3"/>
    </i>
    <i t="grand">
      <x/>
    </i>
  </rowItems>
  <colItems count="1">
    <i/>
  </colItems>
  <dataFields count="1">
    <dataField name="Sum of Total" fld="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11"/>
    <pivotTable tabId="2" name="PivotTable8"/>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2" name="PivotTable11"/>
    <pivotTable tabId="2" name="PivotTable1"/>
    <pivotTable tabId="2"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34950"/>
  <slicer name="City 2" cache="Slicer_City1" caption="City" rowHeight="234950"/>
</slicers>
</file>

<file path=xl/tables/table1.xml><?xml version="1.0" encoding="utf-8"?>
<table xmlns="http://schemas.openxmlformats.org/spreadsheetml/2006/main" id="2" name="Table2" displayName="Table2" ref="A1:H11" totalsRowShown="0">
  <autoFilter ref="A1:H11"/>
  <tableColumns count="8">
    <tableColumn id="1" name="Order ID"/>
    <tableColumn id="2" name="Date" dataDxfId="1"/>
    <tableColumn id="3" name="Product"/>
    <tableColumn id="4" name="Category"/>
    <tableColumn id="5" name="City"/>
    <tableColumn id="6" name="Quantity"/>
    <tableColumn id="7" name="Price"/>
    <tableColumn id="8" name="Total" dataDxfId="0">
      <calculatedColumnFormula>Table2[[#This Row],[Quantity]]*Table2[[#This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190" zoomScaleNormal="190" workbookViewId="0">
      <selection activeCell="H4" sqref="H4"/>
    </sheetView>
  </sheetViews>
  <sheetFormatPr defaultRowHeight="14.4" x14ac:dyDescent="0.3"/>
  <cols>
    <col min="2" max="2" width="9.5546875" bestFit="1" customWidth="1"/>
    <col min="4" max="4" width="11.109375" customWidth="1"/>
  </cols>
  <sheetData>
    <row r="1" spans="1:8" x14ac:dyDescent="0.3">
      <c r="A1" t="s">
        <v>0</v>
      </c>
      <c r="B1" t="s">
        <v>1</v>
      </c>
      <c r="C1" t="s">
        <v>2</v>
      </c>
      <c r="D1" t="s">
        <v>3</v>
      </c>
      <c r="E1" t="s">
        <v>11</v>
      </c>
      <c r="F1" t="s">
        <v>12</v>
      </c>
      <c r="G1" s="2" t="s">
        <v>13</v>
      </c>
      <c r="H1" t="s">
        <v>10</v>
      </c>
    </row>
    <row r="2" spans="1:8" x14ac:dyDescent="0.3">
      <c r="A2">
        <v>1001</v>
      </c>
      <c r="B2" s="1">
        <v>46023</v>
      </c>
      <c r="C2" t="s">
        <v>4</v>
      </c>
      <c r="D2" t="s">
        <v>8</v>
      </c>
      <c r="E2" t="s">
        <v>14</v>
      </c>
      <c r="F2">
        <v>2</v>
      </c>
      <c r="G2">
        <v>800</v>
      </c>
      <c r="H2">
        <f>Table2[[#This Row],[Quantity]]*Table2[[#This Row],[Price]]</f>
        <v>1600</v>
      </c>
    </row>
    <row r="3" spans="1:8" x14ac:dyDescent="0.3">
      <c r="A3">
        <v>1002</v>
      </c>
      <c r="B3" s="1">
        <v>46054</v>
      </c>
      <c r="C3" t="s">
        <v>5</v>
      </c>
      <c r="D3" t="s">
        <v>8</v>
      </c>
      <c r="E3" t="s">
        <v>15</v>
      </c>
      <c r="F3">
        <v>3</v>
      </c>
      <c r="G3">
        <v>500</v>
      </c>
      <c r="H3">
        <f>Table2[[#This Row],[Quantity]]*Table2[[#This Row],[Price]]</f>
        <v>1500</v>
      </c>
    </row>
    <row r="4" spans="1:8" x14ac:dyDescent="0.3">
      <c r="A4">
        <v>1003</v>
      </c>
      <c r="B4" s="1">
        <v>46082</v>
      </c>
      <c r="C4" t="s">
        <v>6</v>
      </c>
      <c r="D4" t="s">
        <v>9</v>
      </c>
      <c r="E4" t="s">
        <v>16</v>
      </c>
      <c r="F4">
        <v>5</v>
      </c>
      <c r="G4">
        <v>120</v>
      </c>
      <c r="H4">
        <f>Table2[[#This Row],[Quantity]]*Table2[[#This Row],[Price]]</f>
        <v>600</v>
      </c>
    </row>
    <row r="5" spans="1:8" x14ac:dyDescent="0.3">
      <c r="A5">
        <v>1004</v>
      </c>
      <c r="B5" s="1">
        <v>46113</v>
      </c>
      <c r="C5" t="s">
        <v>4</v>
      </c>
      <c r="D5" t="s">
        <v>8</v>
      </c>
      <c r="E5" t="s">
        <v>14</v>
      </c>
      <c r="F5">
        <v>5</v>
      </c>
      <c r="G5">
        <v>500</v>
      </c>
      <c r="H5">
        <f>Table2[[#This Row],[Quantity]]*Table2[[#This Row],[Price]]</f>
        <v>2500</v>
      </c>
    </row>
    <row r="6" spans="1:8" x14ac:dyDescent="0.3">
      <c r="A6">
        <v>1005</v>
      </c>
      <c r="B6" s="1">
        <v>46143</v>
      </c>
      <c r="C6" t="s">
        <v>7</v>
      </c>
      <c r="D6" t="s">
        <v>9</v>
      </c>
      <c r="E6" t="s">
        <v>14</v>
      </c>
      <c r="F6">
        <v>3</v>
      </c>
      <c r="G6">
        <v>400</v>
      </c>
      <c r="H6">
        <f>Table2[[#This Row],[Quantity]]*Table2[[#This Row],[Price]]</f>
        <v>1200</v>
      </c>
    </row>
    <row r="7" spans="1:8" x14ac:dyDescent="0.3">
      <c r="A7">
        <v>1006</v>
      </c>
      <c r="B7" s="1">
        <v>46174</v>
      </c>
      <c r="C7" t="s">
        <v>5</v>
      </c>
      <c r="D7" t="s">
        <v>8</v>
      </c>
      <c r="E7" t="s">
        <v>15</v>
      </c>
      <c r="F7">
        <v>6</v>
      </c>
      <c r="G7">
        <v>200</v>
      </c>
      <c r="H7">
        <f>Table2[[#This Row],[Quantity]]*Table2[[#This Row],[Price]]</f>
        <v>1200</v>
      </c>
    </row>
    <row r="8" spans="1:8" x14ac:dyDescent="0.3">
      <c r="A8">
        <v>1007</v>
      </c>
      <c r="B8" s="1">
        <v>46204</v>
      </c>
      <c r="C8" t="s">
        <v>6</v>
      </c>
      <c r="D8" t="s">
        <v>9</v>
      </c>
      <c r="E8" t="s">
        <v>15</v>
      </c>
      <c r="F8">
        <v>3</v>
      </c>
      <c r="G8">
        <v>400</v>
      </c>
      <c r="H8">
        <f>Table2[[#This Row],[Quantity]]*Table2[[#This Row],[Price]]</f>
        <v>1200</v>
      </c>
    </row>
    <row r="9" spans="1:8" x14ac:dyDescent="0.3">
      <c r="A9">
        <v>1008</v>
      </c>
      <c r="B9" s="1">
        <v>46235</v>
      </c>
      <c r="C9" t="s">
        <v>4</v>
      </c>
      <c r="D9" t="s">
        <v>8</v>
      </c>
      <c r="E9" t="s">
        <v>15</v>
      </c>
      <c r="F9">
        <v>6</v>
      </c>
      <c r="G9">
        <v>700</v>
      </c>
      <c r="H9">
        <f>Table2[[#This Row],[Quantity]]*Table2[[#This Row],[Price]]</f>
        <v>4200</v>
      </c>
    </row>
    <row r="10" spans="1:8" x14ac:dyDescent="0.3">
      <c r="A10">
        <v>1009</v>
      </c>
      <c r="B10" s="1">
        <v>46266</v>
      </c>
      <c r="C10" t="s">
        <v>7</v>
      </c>
      <c r="D10" t="s">
        <v>9</v>
      </c>
      <c r="E10" t="s">
        <v>16</v>
      </c>
      <c r="F10">
        <v>1</v>
      </c>
      <c r="G10">
        <v>770</v>
      </c>
      <c r="H10">
        <f>Table2[[#This Row],[Quantity]]*Table2[[#This Row],[Price]]</f>
        <v>770</v>
      </c>
    </row>
    <row r="11" spans="1:8" x14ac:dyDescent="0.3">
      <c r="A11">
        <v>1010</v>
      </c>
      <c r="B11" s="1">
        <v>46296</v>
      </c>
      <c r="C11" t="s">
        <v>5</v>
      </c>
      <c r="D11" t="s">
        <v>8</v>
      </c>
      <c r="E11" t="s">
        <v>16</v>
      </c>
      <c r="F11">
        <v>5</v>
      </c>
      <c r="G11">
        <v>800</v>
      </c>
      <c r="H11">
        <f>Table2[[#This Row],[Quantity]]*Table2[[#This Row],[Price]]</f>
        <v>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G3" sqref="G3"/>
    </sheetView>
  </sheetViews>
  <sheetFormatPr defaultRowHeight="14.4" x14ac:dyDescent="0.3"/>
  <cols>
    <col min="1" max="1" width="12.5546875" bestFit="1" customWidth="1"/>
    <col min="2" max="2" width="11.6640625" customWidth="1"/>
    <col min="3" max="3" width="18.33203125" bestFit="1" customWidth="1"/>
    <col min="6" max="6" width="12.5546875" customWidth="1"/>
    <col min="7" max="7" width="11.6640625" bestFit="1" customWidth="1"/>
    <col min="9" max="9" width="12.5546875" bestFit="1" customWidth="1"/>
    <col min="10" max="10" width="15.88671875" customWidth="1"/>
  </cols>
  <sheetData>
    <row r="1" spans="1:10" x14ac:dyDescent="0.3">
      <c r="F1" s="3" t="s">
        <v>17</v>
      </c>
      <c r="G1" t="s">
        <v>19</v>
      </c>
    </row>
    <row r="2" spans="1:10" x14ac:dyDescent="0.3">
      <c r="F2" s="4" t="s">
        <v>14</v>
      </c>
      <c r="G2" s="5">
        <v>4100</v>
      </c>
    </row>
    <row r="3" spans="1:10" x14ac:dyDescent="0.3">
      <c r="A3" s="3" t="s">
        <v>17</v>
      </c>
      <c r="B3" t="s">
        <v>19</v>
      </c>
      <c r="F3" s="4" t="s">
        <v>16</v>
      </c>
      <c r="G3" s="5">
        <v>4000</v>
      </c>
      <c r="I3" s="3" t="s">
        <v>17</v>
      </c>
      <c r="J3" t="s">
        <v>20</v>
      </c>
    </row>
    <row r="4" spans="1:10" x14ac:dyDescent="0.3">
      <c r="A4" s="4" t="s">
        <v>4</v>
      </c>
      <c r="B4" s="5">
        <v>8300</v>
      </c>
      <c r="F4" s="4" t="s">
        <v>15</v>
      </c>
      <c r="G4" s="5">
        <v>6900</v>
      </c>
      <c r="I4" s="4" t="s">
        <v>4</v>
      </c>
      <c r="J4" s="5">
        <v>3</v>
      </c>
    </row>
    <row r="5" spans="1:10" x14ac:dyDescent="0.3">
      <c r="A5" s="4" t="s">
        <v>5</v>
      </c>
      <c r="B5" s="5">
        <v>6700</v>
      </c>
      <c r="F5" s="4" t="s">
        <v>18</v>
      </c>
      <c r="G5" s="5">
        <v>15000</v>
      </c>
      <c r="I5" s="4" t="s">
        <v>5</v>
      </c>
      <c r="J5" s="5">
        <v>3</v>
      </c>
    </row>
    <row r="6" spans="1:10" x14ac:dyDescent="0.3">
      <c r="A6" s="4" t="s">
        <v>18</v>
      </c>
      <c r="B6" s="5">
        <v>15000</v>
      </c>
      <c r="I6" s="4" t="s">
        <v>18</v>
      </c>
      <c r="J6" s="5">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
  <sheetViews>
    <sheetView showGridLines="0" tabSelected="1" workbookViewId="0">
      <selection activeCell="O23" sqref="O23"/>
    </sheetView>
  </sheetViews>
  <sheetFormatPr defaultRowHeight="14.4" x14ac:dyDescent="0.3"/>
  <cols>
    <col min="2" max="2" width="9.5546875" bestFit="1" customWidth="1"/>
    <col min="10" max="10" width="9.88671875" bestFit="1" customWidth="1"/>
  </cols>
  <sheetData>
    <row r="2" spans="2:14" ht="21" x14ac:dyDescent="0.4">
      <c r="B2" s="8" t="s">
        <v>21</v>
      </c>
      <c r="F2" s="8" t="s">
        <v>22</v>
      </c>
      <c r="J2" s="8" t="s">
        <v>23</v>
      </c>
      <c r="N2" s="8" t="s">
        <v>24</v>
      </c>
    </row>
    <row r="3" spans="2:14" ht="23.4" x14ac:dyDescent="0.45">
      <c r="B3" s="6">
        <f>SUM(Table2[Total])</f>
        <v>18770</v>
      </c>
      <c r="F3" s="7">
        <f>COUNT(Table2[Order ID])</f>
        <v>10</v>
      </c>
      <c r="J3" s="6">
        <f>AVERAGE(Table2[Total])</f>
        <v>1877</v>
      </c>
      <c r="N3" s="6">
        <f>MAX(Table2[Total])</f>
        <v>4200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saad</dc:creator>
  <cp:lastModifiedBy>zaid saad</cp:lastModifiedBy>
  <dcterms:created xsi:type="dcterms:W3CDTF">2026-06-15T13:59:40Z</dcterms:created>
  <dcterms:modified xsi:type="dcterms:W3CDTF">2026-08-02T14:28:17Z</dcterms:modified>
</cp:coreProperties>
</file>