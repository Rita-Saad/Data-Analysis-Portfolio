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zaids\OneDrive\Desktop\"/>
    </mc:Choice>
  </mc:AlternateContent>
  <bookViews>
    <workbookView xWindow="0" yWindow="0" windowWidth="23040" windowHeight="10524" activeTab="2"/>
  </bookViews>
  <sheets>
    <sheet name="Sheet1" sheetId="2" r:id="rId1"/>
    <sheet name="Dashboard" sheetId="6" r:id="rId2"/>
    <sheet name="Data" sheetId="1" r:id="rId3"/>
  </sheets>
  <definedNames>
    <definedName name="Slicer_Department">#N/A</definedName>
    <definedName name="Slicer_Gender">#N/A</definedName>
    <definedName name="Slicer_Status">#N/A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B3" i="6" l="1"/>
  <c r="K3" i="6"/>
  <c r="H3" i="6"/>
  <c r="E3" i="6"/>
</calcChain>
</file>

<file path=xl/sharedStrings.xml><?xml version="1.0" encoding="utf-8"?>
<sst xmlns="http://schemas.openxmlformats.org/spreadsheetml/2006/main" count="97" uniqueCount="51">
  <si>
    <t>Emp ID</t>
  </si>
  <si>
    <t>Name</t>
  </si>
  <si>
    <t>Gender</t>
  </si>
  <si>
    <t>Department</t>
  </si>
  <si>
    <t>Position</t>
  </si>
  <si>
    <t>Hire Date</t>
  </si>
  <si>
    <t>Salary</t>
  </si>
  <si>
    <t>Status</t>
  </si>
  <si>
    <t>Absent Days</t>
  </si>
  <si>
    <t>Ali</t>
  </si>
  <si>
    <t>Male</t>
  </si>
  <si>
    <t>IT</t>
  </si>
  <si>
    <t>Developer</t>
  </si>
  <si>
    <t>Active</t>
  </si>
  <si>
    <t>Sara</t>
  </si>
  <si>
    <t>Female</t>
  </si>
  <si>
    <t>HR</t>
  </si>
  <si>
    <t>HR Officer</t>
  </si>
  <si>
    <t>Omar</t>
  </si>
  <si>
    <t>Finance</t>
  </si>
  <si>
    <t>Accountant</t>
  </si>
  <si>
    <t>20/07/2021</t>
  </si>
  <si>
    <t>Resigned</t>
  </si>
  <si>
    <t>Noor</t>
  </si>
  <si>
    <t>Designer</t>
  </si>
  <si>
    <t>14/09/2024</t>
  </si>
  <si>
    <t>Ahmed</t>
  </si>
  <si>
    <t>Sales</t>
  </si>
  <si>
    <t>Sales Rep</t>
  </si>
  <si>
    <t>18/11/2023</t>
  </si>
  <si>
    <t>Rana</t>
  </si>
  <si>
    <t>Analyst</t>
  </si>
  <si>
    <t>Hassan</t>
  </si>
  <si>
    <t>Recruiter</t>
  </si>
  <si>
    <t>Zain</t>
  </si>
  <si>
    <t>Manager</t>
  </si>
  <si>
    <t>Lana</t>
  </si>
  <si>
    <t>22/08/2023</t>
  </si>
  <si>
    <t>Mariam</t>
  </si>
  <si>
    <t>Marketing</t>
  </si>
  <si>
    <t>Marketing Officer</t>
  </si>
  <si>
    <t>30/06/2024</t>
  </si>
  <si>
    <t>Row Labels</t>
  </si>
  <si>
    <t>Grand Total</t>
  </si>
  <si>
    <t>Count of Emp ID</t>
  </si>
  <si>
    <t>Average of Salary</t>
  </si>
  <si>
    <t>Sum of Absent Days</t>
  </si>
  <si>
    <t>total employees</t>
  </si>
  <si>
    <t>average salary</t>
  </si>
  <si>
    <t>highest salary</t>
  </si>
  <si>
    <t>total absent days</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</si>
</sst>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b/>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0" borderId="0" xfId="0" applyFont="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6.4244204047996717E-2"/>
          <c:y val="0.25402559055118112"/>
          <c:w val="0.76059943505246963"/>
          <c:h val="0.53774387576552929"/>
        </c:manualLayout>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Finance</c:v>
                </c:pt>
                <c:pt idx="1">
                  <c:v>HR</c:v>
                </c:pt>
                <c:pt idx="2">
                  <c:v>IT</c:v>
                </c:pt>
                <c:pt idx="3">
                  <c:v>Marketing</c:v>
                </c:pt>
                <c:pt idx="4">
                  <c:v>Sales</c:v>
                </c:pt>
              </c:strCache>
            </c:strRef>
          </c:cat>
          <c:val>
            <c:numRef>
              <c:f>Sheet1!$B$4:$B$9</c:f>
              <c:numCache>
                <c:formatCode>General</c:formatCode>
                <c:ptCount val="5"/>
                <c:pt idx="0">
                  <c:v>2</c:v>
                </c:pt>
                <c:pt idx="1">
                  <c:v>2</c:v>
                </c:pt>
                <c:pt idx="2">
                  <c:v>3</c:v>
                </c:pt>
                <c:pt idx="3">
                  <c:v>1</c:v>
                </c:pt>
                <c:pt idx="4">
                  <c:v>2</c:v>
                </c:pt>
              </c:numCache>
            </c:numRef>
          </c:val>
        </c:ser>
        <c:dLbls>
          <c:showLegendKey val="0"/>
          <c:showVal val="0"/>
          <c:showCatName val="0"/>
          <c:showSerName val="0"/>
          <c:showPercent val="0"/>
          <c:showBubbleSize val="0"/>
        </c:dLbls>
        <c:gapWidth val="219"/>
        <c:overlap val="-27"/>
        <c:axId val="-1103123184"/>
        <c:axId val="-1103125360"/>
      </c:barChart>
      <c:catAx>
        <c:axId val="-110312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125360"/>
        <c:crosses val="autoZero"/>
        <c:auto val="1"/>
        <c:lblAlgn val="ctr"/>
        <c:lblOffset val="100"/>
        <c:noMultiLvlLbl val="0"/>
      </c:catAx>
      <c:valAx>
        <c:axId val="-110312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12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Sheet1!$E$3</c:f>
              <c:strCache>
                <c:ptCount val="1"/>
                <c:pt idx="0">
                  <c:v>Total</c:v>
                </c:pt>
              </c:strCache>
            </c:strRef>
          </c:tx>
          <c:spPr>
            <a:solidFill>
              <a:schemeClr val="accent1"/>
            </a:solidFill>
            <a:ln>
              <a:noFill/>
            </a:ln>
            <a:effectLst/>
          </c:spPr>
          <c:invertIfNegative val="0"/>
          <c:cat>
            <c:strRef>
              <c:f>Sheet1!$D$4:$D$9</c:f>
              <c:strCache>
                <c:ptCount val="5"/>
                <c:pt idx="0">
                  <c:v>Finance</c:v>
                </c:pt>
                <c:pt idx="1">
                  <c:v>HR</c:v>
                </c:pt>
                <c:pt idx="2">
                  <c:v>IT</c:v>
                </c:pt>
                <c:pt idx="3">
                  <c:v>Marketing</c:v>
                </c:pt>
                <c:pt idx="4">
                  <c:v>Sales</c:v>
                </c:pt>
              </c:strCache>
            </c:strRef>
          </c:cat>
          <c:val>
            <c:numRef>
              <c:f>Sheet1!$E$4:$E$9</c:f>
              <c:numCache>
                <c:formatCode>General</c:formatCode>
                <c:ptCount val="5"/>
                <c:pt idx="0">
                  <c:v>1200</c:v>
                </c:pt>
                <c:pt idx="1">
                  <c:v>965</c:v>
                </c:pt>
                <c:pt idx="2">
                  <c:v>1150</c:v>
                </c:pt>
                <c:pt idx="3">
                  <c:v>1050</c:v>
                </c:pt>
                <c:pt idx="4">
                  <c:v>1200</c:v>
                </c:pt>
              </c:numCache>
            </c:numRef>
          </c:val>
        </c:ser>
        <c:dLbls>
          <c:showLegendKey val="0"/>
          <c:showVal val="0"/>
          <c:showCatName val="0"/>
          <c:showSerName val="0"/>
          <c:showPercent val="0"/>
          <c:showBubbleSize val="0"/>
        </c:dLbls>
        <c:gapWidth val="219"/>
        <c:overlap val="-27"/>
        <c:axId val="-1103127536"/>
        <c:axId val="-1103132432"/>
      </c:barChart>
      <c:catAx>
        <c:axId val="-110312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132432"/>
        <c:crosses val="autoZero"/>
        <c:auto val="1"/>
        <c:lblAlgn val="ctr"/>
        <c:lblOffset val="100"/>
        <c:noMultiLvlLbl val="0"/>
      </c:catAx>
      <c:valAx>
        <c:axId val="-1103132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12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[hr.xlsx]Sheet1!PivotTable8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Sheet1!$I$3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Sheet1!$H$4:$H$6</c:f>
              <c:strCache>
                <c:ptCount val="2"/>
                <c:pt idx="0">
                  <c:v>Active</c:v>
                </c:pt>
                <c:pt idx="1">
                  <c:v>Resigned</c:v>
                </c:pt>
              </c:strCache>
            </c:strRef>
          </c:cat>
          <c:val>
            <c:numRef>
              <c:f>Sheet1!$I$4:$I$6</c:f>
              <c:numCache>
                <c:formatCode>General</c:formatCode>
                <c:ptCount val="2"/>
                <c:pt idx="0">
                  <c:v>8</c:v>
                </c:pt>
                <c:pt idx="1">
                  <c:v>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[hr.xlsx]Sheet1!PivotTable10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absent</a:t>
            </a:r>
            <a:r>
              <a:rPr lang="en-US" baseline="0"/>
              <a:t> days by department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Sheet1!$M$3</c:f>
              <c:strCache>
                <c:ptCount val="1"/>
                <c:pt idx="0">
                  <c:v>Total</c:v>
                </c:pt>
              </c:strCache>
            </c:strRef>
          </c:tx>
          <c:spPr>
            <a:solidFill>
              <a:schemeClr val="accent1"/>
            </a:solidFill>
            <a:ln>
              <a:noFill/>
            </a:ln>
            <a:effectLst/>
          </c:spPr>
          <c:invertIfNegative val="0"/>
          <c:cat>
            <c:strRef>
              <c:f>Sheet1!$L$4:$L$9</c:f>
              <c:strCache>
                <c:ptCount val="5"/>
                <c:pt idx="0">
                  <c:v>Finance</c:v>
                </c:pt>
                <c:pt idx="1">
                  <c:v>HR</c:v>
                </c:pt>
                <c:pt idx="2">
                  <c:v>IT</c:v>
                </c:pt>
                <c:pt idx="3">
                  <c:v>Marketing</c:v>
                </c:pt>
                <c:pt idx="4">
                  <c:v>Sales</c:v>
                </c:pt>
              </c:strCache>
            </c:strRef>
          </c:cat>
          <c:val>
            <c:numRef>
              <c:f>Sheet1!$M$4:$M$9</c:f>
              <c:numCache>
                <c:formatCode>General</c:formatCode>
                <c:ptCount val="5"/>
                <c:pt idx="0">
                  <c:v>2</c:v>
                </c:pt>
                <c:pt idx="1">
                  <c:v>1</c:v>
                </c:pt>
                <c:pt idx="2">
                  <c:v>10</c:v>
                </c:pt>
                <c:pt idx="3">
                  <c:v>2</c:v>
                </c:pt>
                <c:pt idx="4">
                  <c:v>5</c:v>
                </c:pt>
              </c:numCache>
            </c:numRef>
          </c:val>
        </c:ser>
        <c:dLbls>
          <c:showLegendKey val="0"/>
          <c:showVal val="0"/>
          <c:showCatName val="0"/>
          <c:showSerName val="0"/>
          <c:showPercent val="0"/>
          <c:showBubbleSize val="0"/>
        </c:dLbls>
        <c:gapWidth val="182"/>
        <c:axId val="-1103122640"/>
        <c:axId val="-1103121552"/>
      </c:barChart>
      <c:catAx>
        <c:axId val="-1103122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121552"/>
        <c:crosses val="autoZero"/>
        <c:auto val="1"/>
        <c:lblAlgn val="ctr"/>
        <c:lblOffset val="100"/>
        <c:noMultiLvlLbl val="0"/>
      </c:catAx>
      <c:valAx>
        <c:axId val="-1103121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12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152400</xdr:rowOff>
    </xdr:from>
    <xdr:to>
      <xdr:col>6</xdr:col>
      <xdr:colOff>541020</xdr:colOff>
      <xdr:row>19</xdr:row>
      <xdr:rowOff>152400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548640</xdr:colOff>
      <xdr:row>4</xdr:row>
      <xdr:rowOff>167640</xdr:rowOff>
    </xdr:from>
    <xdr:to>
      <xdr:col>14</xdr:col>
      <xdr:colOff>45720</xdr:colOff>
      <xdr:row>19</xdr:row>
      <xdr:rowOff>167640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99060</xdr:colOff>
      <xdr:row>4</xdr:row>
      <xdr:rowOff>160020</xdr:rowOff>
    </xdr:from>
    <xdr:to>
      <xdr:col>21</xdr:col>
      <xdr:colOff>228600</xdr:colOff>
      <xdr:row>19</xdr:row>
      <xdr:rowOff>160020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91440</xdr:colOff>
      <xdr:row>19</xdr:row>
      <xdr:rowOff>121920</xdr:rowOff>
    </xdr:from>
    <xdr:to>
      <xdr:col>7</xdr:col>
      <xdr:colOff>106680</xdr:colOff>
      <xdr:row>34</xdr:row>
      <xdr:rowOff>121920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586740</xdr:colOff>
      <xdr:row>21</xdr:row>
      <xdr:rowOff>22860</xdr:rowOff>
    </xdr:from>
    <xdr:to>
      <xdr:col>11</xdr:col>
      <xdr:colOff>586740</xdr:colOff>
      <xdr:row>34</xdr:row>
      <xdr:rowOff>112395</xdr:rowOff>
    </xdr:to>
    <mc:AlternateContent xmlns:mc="http://schemas.openxmlformats.org/markup-compatibility/2006" xmlns:a14="http://schemas.microsoft.com/office/drawing/2010/main">
      <mc:Choice Requires="a14">
        <xdr:graphicFrame macro="">
          <xdr:nvGraphicFramePr>
            <xdr:cNvPr id="8"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638800" y="40614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60960</xdr:colOff>
      <xdr:row>20</xdr:row>
      <xdr:rowOff>152400</xdr:rowOff>
    </xdr:from>
    <xdr:to>
      <xdr:col>15</xdr:col>
      <xdr:colOff>60960</xdr:colOff>
      <xdr:row>34</xdr:row>
      <xdr:rowOff>59055</xdr:rowOff>
    </xdr:to>
    <mc:AlternateContent xmlns:mc="http://schemas.openxmlformats.org/markup-compatibility/2006" xmlns:a14="http://schemas.microsoft.com/office/drawing/2010/main">
      <mc:Choice Requires="a14">
        <xdr:graphicFrame macro="">
          <xdr:nvGraphicFramePr>
            <xdr:cNvPr id="9"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551420" y="40081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106680</xdr:colOff>
      <xdr:row>20</xdr:row>
      <xdr:rowOff>175260</xdr:rowOff>
    </xdr:from>
    <xdr:to>
      <xdr:col>18</xdr:col>
      <xdr:colOff>106680</xdr:colOff>
      <xdr:row>34</xdr:row>
      <xdr:rowOff>81915</xdr:rowOff>
    </xdr:to>
    <mc:AlternateContent xmlns:mc="http://schemas.openxmlformats.org/markup-compatibility/2006" xmlns:a14="http://schemas.microsoft.com/office/drawing/2010/main">
      <mc:Choice Requires="a14">
        <xdr:graphicFrame macro="">
          <xdr:nvGraphicFramePr>
            <xdr:cNvPr id="11" name="Status 1"/>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9425940" y="40309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zaid saad" refreshedDate="46213.753240509257" createdVersion="5" refreshedVersion="5" minRefreshableVersion="3" recordCount="10">
  <cacheSource type="worksheet">
    <worksheetSource name="Data"/>
  </cacheSource>
  <cacheFields count="9">
    <cacheField name="Emp ID" numFmtId="0">
      <sharedItems containsSemiMixedTypes="0" containsString="0" containsNumber="1" containsInteger="1" minValue="1001" maxValue="1010"/>
    </cacheField>
    <cacheField name="Name" numFmtId="0">
      <sharedItems/>
    </cacheField>
    <cacheField name="Gender" numFmtId="0">
      <sharedItems count="2">
        <s v="Male"/>
        <s v="Female"/>
      </sharedItems>
    </cacheField>
    <cacheField name="Department" numFmtId="0">
      <sharedItems count="5">
        <s v="IT"/>
        <s v="HR"/>
        <s v="Finance"/>
        <s v="Sales"/>
        <s v="Marketing"/>
      </sharedItems>
    </cacheField>
    <cacheField name="Position" numFmtId="0">
      <sharedItems/>
    </cacheField>
    <cacheField name="Hire Date" numFmtId="0">
      <sharedItems containsDate="1" containsMixedTypes="1" minDate="2020-01-01T00:00:00" maxDate="2023-05-02T00:00:00"/>
    </cacheField>
    <cacheField name="Salary" numFmtId="0">
      <sharedItems containsSemiMixedTypes="0" containsString="0" containsNumber="1" containsInteger="1" minValue="900" maxValue="1500"/>
    </cacheField>
    <cacheField name="Status" numFmtId="0">
      <sharedItems count="2">
        <s v="Active"/>
        <s v="Resigned"/>
      </sharedItems>
    </cacheField>
    <cacheField name="Absent Days" numFmtId="0">
      <sharedItems containsSemiMixedTypes="0" containsString="0" containsNumber="1" containsInteger="1" minValue="0"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n v="1001"/>
    <s v="Ali"/>
    <x v="0"/>
    <x v="0"/>
    <s v="Developer"/>
    <d v="2023-05-01T00:00:00"/>
    <n v="1200"/>
    <x v="0"/>
    <n v="2"/>
  </r>
  <r>
    <n v="1002"/>
    <s v="Sara"/>
    <x v="1"/>
    <x v="1"/>
    <s v="HR Officer"/>
    <d v="2022-12-03T00:00:00"/>
    <n v="950"/>
    <x v="0"/>
    <n v="1"/>
  </r>
  <r>
    <n v="1003"/>
    <s v="Omar"/>
    <x v="0"/>
    <x v="2"/>
    <s v="Accountant"/>
    <s v="20/07/2021"/>
    <n v="1100"/>
    <x v="1"/>
    <n v="0"/>
  </r>
  <r>
    <n v="1004"/>
    <s v="Noor"/>
    <x v="1"/>
    <x v="0"/>
    <s v="Designer"/>
    <s v="14/09/2024"/>
    <n v="1000"/>
    <x v="0"/>
    <n v="3"/>
  </r>
  <r>
    <n v="1005"/>
    <s v="Ahmed"/>
    <x v="0"/>
    <x v="3"/>
    <s v="Sales Rep"/>
    <s v="18/11/2023"/>
    <n v="900"/>
    <x v="0"/>
    <n v="4"/>
  </r>
  <r>
    <n v="1006"/>
    <s v="Rana"/>
    <x v="1"/>
    <x v="2"/>
    <s v="Analyst"/>
    <d v="2022-10-05T00:00:00"/>
    <n v="1300"/>
    <x v="0"/>
    <n v="2"/>
  </r>
  <r>
    <n v="1007"/>
    <s v="Hassan"/>
    <x v="0"/>
    <x v="1"/>
    <s v="Recruiter"/>
    <d v="2021-08-02T00:00:00"/>
    <n v="980"/>
    <x v="1"/>
    <n v="0"/>
  </r>
  <r>
    <n v="1008"/>
    <s v="Zain"/>
    <x v="0"/>
    <x v="3"/>
    <s v="Manager"/>
    <d v="2020-01-01T00:00:00"/>
    <n v="1500"/>
    <x v="0"/>
    <n v="1"/>
  </r>
  <r>
    <n v="1009"/>
    <s v="Lana"/>
    <x v="1"/>
    <x v="0"/>
    <s v="Developer"/>
    <s v="22/08/2023"/>
    <n v="1250"/>
    <x v="0"/>
    <n v="5"/>
  </r>
  <r>
    <n v="1010"/>
    <s v="Mariam"/>
    <x v="1"/>
    <x v="4"/>
    <s v="Marketing Officer"/>
    <s v="30/06/2024"/>
    <n v="1050"/>
    <x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9" firstHeaderRow="1" firstDataRow="1" firstDataCol="1"/>
  <pivotFields count="9">
    <pivotField dataField="1" showAll="0"/>
    <pivotField showAll="0"/>
    <pivotField showAll="0">
      <items count="3">
        <item x="1"/>
        <item x="0"/>
        <item t="default"/>
      </items>
    </pivotField>
    <pivotField axis="axisRow" showAll="0">
      <items count="6">
        <item x="2"/>
        <item x="1"/>
        <item x="0"/>
        <item x="4"/>
        <item x="3"/>
        <item t="default"/>
      </items>
    </pivotField>
    <pivotField showAll="0"/>
    <pivotField showAll="0"/>
    <pivotField showAll="0"/>
    <pivotField showAll="0">
      <items count="3">
        <item x="0"/>
        <item x="1"/>
        <item t="default"/>
      </items>
    </pivotField>
    <pivotField showAll="0"/>
  </pivotFields>
  <rowFields count="1">
    <field x="3"/>
  </rowFields>
  <rowItems count="6">
    <i>
      <x/>
    </i>
    <i>
      <x v="1"/>
    </i>
    <i>
      <x v="2"/>
    </i>
    <i>
      <x v="3"/>
    </i>
    <i>
      <x v="4"/>
    </i>
    <i t="grand">
      <x/>
    </i>
  </rowItems>
  <colItems count="1">
    <i/>
  </colItems>
  <dataFields count="1">
    <dataField name="Count of Emp ID" fld="0" subtotal="count" baseField="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L3:M9" firstHeaderRow="1" firstDataRow="1" firstDataCol="1"/>
  <pivotFields count="9">
    <pivotField showAll="0"/>
    <pivotField showAll="0"/>
    <pivotField showAll="0">
      <items count="3">
        <item x="1"/>
        <item x="0"/>
        <item t="default"/>
      </items>
    </pivotField>
    <pivotField axis="axisRow" showAll="0">
      <items count="6">
        <item x="2"/>
        <item x="1"/>
        <item x="0"/>
        <item x="4"/>
        <item x="3"/>
        <item t="default"/>
      </items>
    </pivotField>
    <pivotField showAll="0"/>
    <pivotField showAll="0"/>
    <pivotField showAll="0"/>
    <pivotField showAll="0">
      <items count="3">
        <item x="0"/>
        <item x="1"/>
        <item t="default"/>
      </items>
    </pivotField>
    <pivotField dataField="1" showAll="0"/>
  </pivotFields>
  <rowFields count="1">
    <field x="3"/>
  </rowFields>
  <rowItems count="6">
    <i>
      <x/>
    </i>
    <i>
      <x v="1"/>
    </i>
    <i>
      <x v="2"/>
    </i>
    <i>
      <x v="3"/>
    </i>
    <i>
      <x v="4"/>
    </i>
    <i t="grand">
      <x/>
    </i>
  </rowItems>
  <colItems count="1">
    <i/>
  </colItems>
  <dataFields count="1">
    <dataField name="Sum of Absent Day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H3:I6" firstHeaderRow="1" firstDataRow="1" firstDataCol="1"/>
  <pivotFields count="9">
    <pivotField dataField="1" showAll="0"/>
    <pivotField showAll="0"/>
    <pivotField showAll="0">
      <items count="3">
        <item x="1"/>
        <item x="0"/>
        <item t="default"/>
      </items>
    </pivotField>
    <pivotField showAll="0">
      <items count="6">
        <item x="2"/>
        <item x="1"/>
        <item x="0"/>
        <item x="4"/>
        <item x="3"/>
        <item t="default"/>
      </items>
    </pivotField>
    <pivotField showAll="0"/>
    <pivotField showAll="0"/>
    <pivotField showAll="0"/>
    <pivotField axis="axisRow" showAll="0">
      <items count="3">
        <item x="0"/>
        <item x="1"/>
        <item t="default"/>
      </items>
    </pivotField>
    <pivotField showAll="0"/>
  </pivotFields>
  <rowFields count="1">
    <field x="7"/>
  </rowFields>
  <rowItems count="3">
    <i>
      <x/>
    </i>
    <i>
      <x v="1"/>
    </i>
    <i t="grand">
      <x/>
    </i>
  </rowItems>
  <colItems count="1">
    <i/>
  </colItems>
  <dataFields count="1">
    <dataField name="Count of Emp ID" fld="0" subtotal="count" baseField="7"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7" count="1" selected="0">
            <x v="0"/>
          </reference>
        </references>
      </pivotArea>
    </chartFormat>
    <chartFormat chart="2"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D3:E9" firstHeaderRow="1" firstDataRow="1" firstDataCol="1"/>
  <pivotFields count="9">
    <pivotField showAll="0"/>
    <pivotField showAll="0"/>
    <pivotField showAll="0">
      <items count="3">
        <item x="1"/>
        <item x="0"/>
        <item t="default"/>
      </items>
    </pivotField>
    <pivotField axis="axisRow" showAll="0">
      <items count="6">
        <item x="2"/>
        <item x="1"/>
        <item x="0"/>
        <item x="4"/>
        <item x="3"/>
        <item t="default"/>
      </items>
    </pivotField>
    <pivotField showAll="0"/>
    <pivotField showAll="0"/>
    <pivotField dataField="1" showAll="0"/>
    <pivotField showAll="0">
      <items count="3">
        <item x="0"/>
        <item x="1"/>
        <item t="default"/>
      </items>
    </pivotField>
    <pivotField showAll="0"/>
  </pivotFields>
  <rowFields count="1">
    <field x="3"/>
  </rowFields>
  <rowItems count="6">
    <i>
      <x/>
    </i>
    <i>
      <x v="1"/>
    </i>
    <i>
      <x v="2"/>
    </i>
    <i>
      <x v="3"/>
    </i>
    <i>
      <x v="4"/>
    </i>
    <i t="grand">
      <x/>
    </i>
  </rowItems>
  <colItems count="1">
    <i/>
  </colItems>
  <dataFields count="1">
    <dataField name="Average of Salary" fld="6" subtotal="average" baseField="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8"/>
    <pivotTable tabId="2" name="PivotTable1"/>
    <pivotTable tabId="2" name="PivotTable10"/>
    <pivotTable tabId="2" name="PivotTable6"/>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2" name="PivotTable8"/>
    <pivotTable tabId="2" name="PivotTable1"/>
    <pivotTable tabId="2" name="PivotTable10"/>
    <pivotTable tabId="2" name="PivotTable6"/>
  </pivotTables>
  <data>
    <tabular pivotCacheId="1">
      <items count="5">
        <i x="2" s="1"/>
        <i x="1" s="1"/>
        <i x="0"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2" name="PivotTable8"/>
    <pivotTable tabId="2" name="PivotTable1"/>
    <pivotTable tabId="2" name="PivotTable10"/>
    <pivotTable tabId="2" name="PivotTable6"/>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1" cache="Slicer_Gender" caption="Gender" rowHeight="234950"/>
  <slicer name="Department 1" cache="Slicer_Department" caption="Department" rowHeight="234950"/>
  <slicer name="Status 1" cache="Slicer_Status" caption="Status" rowHeight="234950"/>
</slicers>
</file>

<file path=xl/tables/table1.xml><?xml version="1.0" encoding="utf-8"?>
<table xmlns="http://schemas.openxmlformats.org/spreadsheetml/2006/main" id="1" name="Data" displayName="Data" ref="A1:I11" totalsRowShown="0">
  <autoFilter ref="A1:I11"/>
  <tableColumns count="9">
    <tableColumn id="1" name="Emp ID"/>
    <tableColumn id="2" name="Name"/>
    <tableColumn id="3" name="Gender"/>
    <tableColumn id="4" name="Department"/>
    <tableColumn id="5" name="Position"/>
    <tableColumn id="6" name="Hire Date" dataDxfId="0"/>
    <tableColumn id="7" name="Salary"/>
    <tableColumn id="8" name="Status"/>
    <tableColumn id="9" name="Absent Day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9"/>
  <sheetViews>
    <sheetView workbookViewId="0">
      <selection activeCell="B35" sqref="B35"/>
    </sheetView>
  </sheetViews>
  <sheetFormatPr defaultRowHeight="14.4" x14ac:dyDescent="0.3"/>
  <cols>
    <col min="1" max="1" width="12.5546875" bestFit="1" customWidth="1"/>
    <col min="2" max="2" width="14.88671875" bestFit="1" customWidth="1"/>
    <col min="4" max="4" width="12.5546875" bestFit="1" customWidth="1"/>
    <col min="5" max="5" width="15.77734375" bestFit="1" customWidth="1"/>
    <col min="8" max="8" width="12.5546875" customWidth="1"/>
    <col min="9" max="9" width="14.88671875" customWidth="1"/>
    <col min="12" max="12" width="12.5546875" bestFit="1" customWidth="1"/>
    <col min="13" max="13" width="18" bestFit="1" customWidth="1"/>
  </cols>
  <sheetData>
    <row r="3" spans="1:13" x14ac:dyDescent="0.3">
      <c r="A3" s="2" t="s">
        <v>42</v>
      </c>
      <c r="B3" t="s">
        <v>44</v>
      </c>
      <c r="D3" s="2" t="s">
        <v>42</v>
      </c>
      <c r="E3" t="s">
        <v>45</v>
      </c>
      <c r="H3" s="2" t="s">
        <v>42</v>
      </c>
      <c r="I3" t="s">
        <v>44</v>
      </c>
      <c r="L3" s="2" t="s">
        <v>42</v>
      </c>
      <c r="M3" t="s">
        <v>46</v>
      </c>
    </row>
    <row r="4" spans="1:13" x14ac:dyDescent="0.3">
      <c r="A4" s="3" t="s">
        <v>19</v>
      </c>
      <c r="B4" s="4">
        <v>2</v>
      </c>
      <c r="D4" s="3" t="s">
        <v>19</v>
      </c>
      <c r="E4" s="4">
        <v>1200</v>
      </c>
      <c r="H4" s="3" t="s">
        <v>13</v>
      </c>
      <c r="I4" s="4">
        <v>8</v>
      </c>
      <c r="L4" s="3" t="s">
        <v>19</v>
      </c>
      <c r="M4" s="4">
        <v>2</v>
      </c>
    </row>
    <row r="5" spans="1:13" x14ac:dyDescent="0.3">
      <c r="A5" s="3" t="s">
        <v>16</v>
      </c>
      <c r="B5" s="4">
        <v>2</v>
      </c>
      <c r="D5" s="3" t="s">
        <v>16</v>
      </c>
      <c r="E5" s="4">
        <v>965</v>
      </c>
      <c r="H5" s="3" t="s">
        <v>22</v>
      </c>
      <c r="I5" s="4">
        <v>2</v>
      </c>
      <c r="L5" s="3" t="s">
        <v>16</v>
      </c>
      <c r="M5" s="4">
        <v>1</v>
      </c>
    </row>
    <row r="6" spans="1:13" x14ac:dyDescent="0.3">
      <c r="A6" s="3" t="s">
        <v>11</v>
      </c>
      <c r="B6" s="4">
        <v>3</v>
      </c>
      <c r="D6" s="3" t="s">
        <v>11</v>
      </c>
      <c r="E6" s="4">
        <v>1150</v>
      </c>
      <c r="H6" s="3" t="s">
        <v>43</v>
      </c>
      <c r="I6" s="4">
        <v>10</v>
      </c>
      <c r="L6" s="3" t="s">
        <v>11</v>
      </c>
      <c r="M6" s="4">
        <v>10</v>
      </c>
    </row>
    <row r="7" spans="1:13" x14ac:dyDescent="0.3">
      <c r="A7" s="3" t="s">
        <v>39</v>
      </c>
      <c r="B7" s="4">
        <v>1</v>
      </c>
      <c r="D7" s="3" t="s">
        <v>39</v>
      </c>
      <c r="E7" s="4">
        <v>1050</v>
      </c>
      <c r="L7" s="3" t="s">
        <v>39</v>
      </c>
      <c r="M7" s="4">
        <v>2</v>
      </c>
    </row>
    <row r="8" spans="1:13" x14ac:dyDescent="0.3">
      <c r="A8" s="3" t="s">
        <v>27</v>
      </c>
      <c r="B8" s="4">
        <v>2</v>
      </c>
      <c r="D8" s="3" t="s">
        <v>27</v>
      </c>
      <c r="E8" s="4">
        <v>1200</v>
      </c>
      <c r="L8" s="3" t="s">
        <v>27</v>
      </c>
      <c r="M8" s="4">
        <v>5</v>
      </c>
    </row>
    <row r="9" spans="1:13" x14ac:dyDescent="0.3">
      <c r="A9" s="3" t="s">
        <v>43</v>
      </c>
      <c r="B9" s="4">
        <v>10</v>
      </c>
      <c r="D9" s="3" t="s">
        <v>43</v>
      </c>
      <c r="E9" s="4">
        <v>1123</v>
      </c>
      <c r="L9" s="3" t="s">
        <v>43</v>
      </c>
      <c r="M9" s="4">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3"/>
  <sheetViews>
    <sheetView showGridLines="0" workbookViewId="0">
      <selection activeCell="K3" sqref="K3"/>
    </sheetView>
  </sheetViews>
  <sheetFormatPr defaultRowHeight="14.4" x14ac:dyDescent="0.3"/>
  <cols>
    <col min="8" max="8" width="11.44140625" customWidth="1"/>
  </cols>
  <sheetData>
    <row r="2" spans="2:11" ht="21" x14ac:dyDescent="0.4">
      <c r="B2" s="5" t="s">
        <v>47</v>
      </c>
      <c r="E2" s="5" t="s">
        <v>48</v>
      </c>
      <c r="H2" s="5" t="s">
        <v>49</v>
      </c>
      <c r="K2" s="5" t="s">
        <v>50</v>
      </c>
    </row>
    <row r="3" spans="2:11" ht="23.4" x14ac:dyDescent="0.45">
      <c r="B3" s="6">
        <f>COUNTA(Data[Emp ID])</f>
        <v>10</v>
      </c>
      <c r="E3" s="6">
        <f>AVERAGE(Data[Salary])</f>
        <v>1123</v>
      </c>
      <c r="H3" s="6">
        <f>MAX(Data[Salary])</f>
        <v>1500</v>
      </c>
      <c r="K3" s="6">
        <f>SUM(Data[Absent Days])</f>
        <v>20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tabSelected="1" zoomScale="145" zoomScaleNormal="145" workbookViewId="0">
      <selection activeCell="B6" sqref="B6"/>
    </sheetView>
  </sheetViews>
  <sheetFormatPr defaultRowHeight="14.4" x14ac:dyDescent="0.3"/>
  <cols>
    <col min="3" max="3" width="9" customWidth="1"/>
    <col min="4" max="4" width="13" customWidth="1"/>
    <col min="5" max="5" width="9.6640625" customWidth="1"/>
    <col min="6" max="6" width="10.5546875" customWidth="1"/>
    <col min="9" max="9" width="13.21875" customWidth="1"/>
  </cols>
  <sheetData>
    <row r="1" spans="1:9" x14ac:dyDescent="0.3">
      <c r="A1" t="s">
        <v>0</v>
      </c>
      <c r="B1" t="s">
        <v>1</v>
      </c>
      <c r="C1" t="s">
        <v>2</v>
      </c>
      <c r="D1" t="s">
        <v>3</v>
      </c>
      <c r="E1" t="s">
        <v>4</v>
      </c>
      <c r="F1" t="s">
        <v>5</v>
      </c>
      <c r="G1" t="s">
        <v>6</v>
      </c>
      <c r="H1" t="s">
        <v>7</v>
      </c>
      <c r="I1" t="s">
        <v>8</v>
      </c>
    </row>
    <row r="2" spans="1:9" x14ac:dyDescent="0.3">
      <c r="A2">
        <v>1001</v>
      </c>
      <c r="B2" t="s">
        <v>9</v>
      </c>
      <c r="C2" t="s">
        <v>10</v>
      </c>
      <c r="D2" t="s">
        <v>11</v>
      </c>
      <c r="E2" t="s">
        <v>12</v>
      </c>
      <c r="F2" s="1">
        <v>45047</v>
      </c>
      <c r="G2">
        <v>1200</v>
      </c>
      <c r="H2" t="s">
        <v>13</v>
      </c>
      <c r="I2">
        <v>2</v>
      </c>
    </row>
    <row r="3" spans="1:9" x14ac:dyDescent="0.3">
      <c r="A3">
        <v>1002</v>
      </c>
      <c r="B3" t="s">
        <v>14</v>
      </c>
      <c r="C3" t="s">
        <v>15</v>
      </c>
      <c r="D3" t="s">
        <v>16</v>
      </c>
      <c r="E3" t="s">
        <v>17</v>
      </c>
      <c r="F3" s="1">
        <v>44898</v>
      </c>
      <c r="G3">
        <v>950</v>
      </c>
      <c r="H3" t="s">
        <v>13</v>
      </c>
      <c r="I3">
        <v>1</v>
      </c>
    </row>
    <row r="4" spans="1:9" x14ac:dyDescent="0.3">
      <c r="A4">
        <v>1003</v>
      </c>
      <c r="B4" t="s">
        <v>18</v>
      </c>
      <c r="C4" t="s">
        <v>10</v>
      </c>
      <c r="D4" t="s">
        <v>19</v>
      </c>
      <c r="E4" t="s">
        <v>20</v>
      </c>
      <c r="F4" t="s">
        <v>21</v>
      </c>
      <c r="G4">
        <v>1100</v>
      </c>
      <c r="H4" t="s">
        <v>22</v>
      </c>
      <c r="I4">
        <v>0</v>
      </c>
    </row>
    <row r="5" spans="1:9" x14ac:dyDescent="0.3">
      <c r="A5">
        <v>1004</v>
      </c>
      <c r="B5" t="s">
        <v>23</v>
      </c>
      <c r="C5" t="s">
        <v>15</v>
      </c>
      <c r="D5" t="s">
        <v>11</v>
      </c>
      <c r="E5" t="s">
        <v>24</v>
      </c>
      <c r="F5" t="s">
        <v>25</v>
      </c>
      <c r="G5">
        <v>1000</v>
      </c>
      <c r="H5" t="s">
        <v>13</v>
      </c>
      <c r="I5">
        <v>3</v>
      </c>
    </row>
    <row r="6" spans="1:9" x14ac:dyDescent="0.3">
      <c r="A6">
        <v>1005</v>
      </c>
      <c r="B6" t="s">
        <v>26</v>
      </c>
      <c r="C6" t="s">
        <v>10</v>
      </c>
      <c r="D6" t="s">
        <v>27</v>
      </c>
      <c r="E6" t="s">
        <v>28</v>
      </c>
      <c r="F6" t="s">
        <v>29</v>
      </c>
      <c r="G6">
        <v>900</v>
      </c>
      <c r="H6" t="s">
        <v>13</v>
      </c>
      <c r="I6">
        <v>4</v>
      </c>
    </row>
    <row r="7" spans="1:9" x14ac:dyDescent="0.3">
      <c r="A7">
        <v>1006</v>
      </c>
      <c r="B7" t="s">
        <v>30</v>
      </c>
      <c r="C7" t="s">
        <v>15</v>
      </c>
      <c r="D7" t="s">
        <v>19</v>
      </c>
      <c r="E7" t="s">
        <v>31</v>
      </c>
      <c r="F7" s="1">
        <v>44839</v>
      </c>
      <c r="G7">
        <v>1300</v>
      </c>
      <c r="H7" t="s">
        <v>13</v>
      </c>
      <c r="I7">
        <v>2</v>
      </c>
    </row>
    <row r="8" spans="1:9" x14ac:dyDescent="0.3">
      <c r="A8">
        <v>1007</v>
      </c>
      <c r="B8" t="s">
        <v>32</v>
      </c>
      <c r="C8" t="s">
        <v>10</v>
      </c>
      <c r="D8" t="s">
        <v>16</v>
      </c>
      <c r="E8" t="s">
        <v>33</v>
      </c>
      <c r="F8" s="1">
        <v>44410</v>
      </c>
      <c r="G8">
        <v>980</v>
      </c>
      <c r="H8" t="s">
        <v>22</v>
      </c>
      <c r="I8">
        <v>0</v>
      </c>
    </row>
    <row r="9" spans="1:9" x14ac:dyDescent="0.3">
      <c r="A9">
        <v>1008</v>
      </c>
      <c r="B9" t="s">
        <v>34</v>
      </c>
      <c r="C9" t="s">
        <v>10</v>
      </c>
      <c r="D9" t="s">
        <v>27</v>
      </c>
      <c r="E9" t="s">
        <v>35</v>
      </c>
      <c r="F9" s="1">
        <v>43831</v>
      </c>
      <c r="G9">
        <v>1500</v>
      </c>
      <c r="H9" t="s">
        <v>13</v>
      </c>
      <c r="I9">
        <v>1</v>
      </c>
    </row>
    <row r="10" spans="1:9" x14ac:dyDescent="0.3">
      <c r="A10">
        <v>1009</v>
      </c>
      <c r="B10" t="s">
        <v>36</v>
      </c>
      <c r="C10" t="s">
        <v>15</v>
      </c>
      <c r="D10" t="s">
        <v>11</v>
      </c>
      <c r="E10" t="s">
        <v>12</v>
      </c>
      <c r="F10" t="s">
        <v>37</v>
      </c>
      <c r="G10">
        <v>1250</v>
      </c>
      <c r="H10" t="s">
        <v>13</v>
      </c>
      <c r="I10">
        <v>5</v>
      </c>
    </row>
    <row r="11" spans="1:9" x14ac:dyDescent="0.3">
      <c r="A11">
        <v>1010</v>
      </c>
      <c r="B11" t="s">
        <v>38</v>
      </c>
      <c r="C11" t="s">
        <v>15</v>
      </c>
      <c r="D11" t="s">
        <v>39</v>
      </c>
      <c r="E11" t="s">
        <v>40</v>
      </c>
      <c r="F11" t="s">
        <v>41</v>
      </c>
      <c r="G11">
        <v>1050</v>
      </c>
      <c r="H11" t="s">
        <v>13</v>
      </c>
      <c r="I11">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zaidpc</dc:creator>
  <cp:lastModifiedBy>zaid saad</cp:lastModifiedBy>
  <dcterms:created xsi:type="dcterms:W3CDTF">2026-07-10T15:02:09Z</dcterms:created>
  <dcterms:modified xsi:type="dcterms:W3CDTF">2026-08-02T14:25:43Z</dcterms:modified>
</cp:coreProperties>
</file>